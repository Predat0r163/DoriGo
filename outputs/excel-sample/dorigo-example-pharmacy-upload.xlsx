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a39096b45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66f0b38d01e24b30"/>
    <x:sheet xmlns:r="http://schemas.openxmlformats.org/officeDocument/2006/relationships" name="Инструкция" sheetId="2" r:id="R0c790012589a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62456"/>
      <x:name val="Carlito"/>
    </x:font>
    <x:font>
      <x:b/>
      <x:sz val="11"/>
      <x:color rgb="FF0624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A85A"/>
      </x:patternFill>
    </x:fill>
    <x:fill>
      <x:patternFill patternType="solid">
        <x:fgColor rgb="FFEAF8F0"/>
      </x:patternFill>
    </x:fill>
    <x:fill>
      <x:patternFill patternType="solid">
        <x:fgColor rgb="FFF4F7FB"/>
      </x:patternFill>
    </x:fill>
  </x:fills>
  <x:borders count="10">
    <x:border/>
    <x:border>
      <x:right style="thin">
        <x:color rgb="FFE5EAF3"/>
      </x:right>
      <x:bottom style="thin">
        <x:color rgb="FFE5EAF3"/>
      </x:bottom>
    </x:border>
    <x:border>
      <x:left style="thin">
        <x:color rgb="FFE5EAF3"/>
      </x:left>
      <x:right style="thin">
        <x:color rgb="FFE5EAF3"/>
      </x:right>
      <x:bottom style="thin">
        <x:color rgb="FFE5EAF3"/>
      </x:bottom>
    </x:border>
    <x:border>
      <x:left style="thin">
        <x:color rgb="FFE5EAF3"/>
      </x:left>
      <x:bottom style="thin">
        <x:color rgb="FFE5EAF3"/>
      </x:bottom>
    </x:border>
    <x:border>
      <x:right style="thin">
        <x:color rgb="FFE5EAF3"/>
      </x:right>
      <x:top style="thin">
        <x:color rgb="FFE5EAF3"/>
      </x:top>
      <x:bottom style="thin">
        <x:color rgb="FFE5EAF3"/>
      </x:bottom>
    </x:border>
    <x:border>
      <x:left style="thin">
        <x:color rgb="FFE5EAF3"/>
      </x:left>
      <x:right style="thin">
        <x:color rgb="FFE5EAF3"/>
      </x:right>
      <x:top style="thin">
        <x:color rgb="FFE5EAF3"/>
      </x:top>
      <x:bottom style="thin">
        <x:color rgb="FFE5EAF3"/>
      </x:bottom>
    </x:border>
    <x:border>
      <x:left style="thin">
        <x:color rgb="FFE5EAF3"/>
      </x:left>
      <x:top style="thin">
        <x:color rgb="FFE5EAF3"/>
      </x:top>
      <x:bottom style="thin">
        <x:color rgb="FFE5EAF3"/>
      </x:bottom>
    </x:border>
    <x:border>
      <x:right style="thin">
        <x:color rgb="FFE5EAF3"/>
      </x:right>
      <x:top style="thin">
        <x:color rgb="FFE5EAF3"/>
      </x:top>
    </x:border>
    <x:border>
      <x:left style="thin">
        <x:color rgb="FFE5EAF3"/>
      </x:left>
      <x:right style="thin">
        <x:color rgb="FFE5EAF3"/>
      </x:right>
      <x:top style="thin">
        <x:color rgb="FFE5EAF3"/>
      </x:top>
    </x:border>
    <x:border>
      <x:left style="thin">
        <x:color rgb="FFE5EAF3"/>
      </x:left>
      <x:top style="thin">
        <x:color rgb="FFE5EAF3"/>
      </x:top>
    </x:border>
  </x:borders>
  <x:cellStyleXfs count="1">
    <x:xf numFmtId="0" fontId="0" fillId="0" borderId="0"/>
  </x:cellStyleXfs>
  <x:cellXfs count="39">
    <x:xf numFmtId="0" fontId="0" fillId="0" borderId="0" xfId="0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1" xfId="0" applyNumberFormat="1" applyFont="1" applyFill="1" applyBorder="1"/>
    <x:xf numFmtId="200" fontId="0" fillId="2" borderId="2" xfId="0" applyNumberFormat="1" applyFont="1" applyFill="1" applyBorder="1"/>
    <x:xf numFmtId="0" fontId="0" fillId="2" borderId="2" xfId="0" applyNumberFormat="1" applyFont="1" applyFill="1" applyBorder="1"/>
    <x:xf numFmtId="200" fontId="0" fillId="2" borderId="3" xfId="0" applyNumberFormat="1" applyFont="1" applyFill="1" applyBorder="1"/>
    <x:xf numFmtId="0" fontId="1" fillId="2" borderId="1" xfId="0" applyNumberFormat="1" applyFont="1" applyFill="1" applyBorder="1"/>
    <x:xf numFmtId="200" fontId="1" fillId="2" borderId="2" xfId="0" applyNumberFormat="1" applyFont="1" applyFill="1" applyBorder="1"/>
    <x:xf numFmtId="0" fontId="1" fillId="2" borderId="2" xfId="0" applyNumberFormat="1" applyFont="1" applyFill="1" applyBorder="1"/>
    <x:xf numFmtId="20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4732f195048f8" /><Relationship Type="http://schemas.openxmlformats.org/officeDocument/2006/relationships/theme" Target="/xl/theme/theme1.xml" Id="R7a3cc0b00c3c413e" /><Relationship Type="http://schemas.openxmlformats.org/officeDocument/2006/relationships/sharedStrings" Target="/xl/sharedStrings.xml" Id="Ra7c6572554454188" /><Relationship Type="http://schemas.openxmlformats.org/officeDocument/2006/relationships/worksheet" Target="/xl/worksheets/sheet1.xml" Id="R66f0b38d01e24b30" /><Relationship Type="http://schemas.openxmlformats.org/officeDocument/2006/relationships/worksheet" Target="/xl/worksheets/sheet2.xml" Id="R0c790012589a4026" /><Relationship Type="http://schemas.microsoft.com/office/2017/10/relationships/person" Target="/xl/persons/person.xml" Id="R2daca356b2144159" /></Relationships>
</file>

<file path=xl/persons/person.xml><?xml version="1.0" encoding="utf-8"?>
<xltc:personList xmlns:xltc="http://schemas.microsoft.com/office/spreadsheetml/2018/threadedcomments">
  <xltc:person displayName="DoriGo" id="{E0595DEA-AA63-4A89-B43D-E00ACB25B74E}"/>
</xltc:personList>
</file>

<file path=xl/tables/table1.xml><?xml version="1.0" encoding="utf-8"?>
<x:table xmlns:x="http://schemas.openxmlformats.org/spreadsheetml/2006/main" id="1" name="DorigoUpload" displayName="DorigoUpload" ref="A1:N13" headerRowCount="1">
  <x:tableColumns count="14">
    <x:tableColumn id="1" name="ID DoriGo"/>
    <x:tableColumn id="2" name="Штрихкод"/>
    <x:tableColumn id="3" name="Название"/>
    <x:tableColumn id="4" name="МНН"/>
    <x:tableColumn id="5" name="Дозировка"/>
    <x:tableColumn id="6" name="Форма"/>
    <x:tableColumn id="7" name="Количество в упаковке"/>
    <x:tableColumn id="8" name="Производитель"/>
    <x:tableColumn id="9" name="Категория"/>
    <x:tableColumn id="10" name="Цена"/>
    <x:tableColumn id="11" name="Закупочная цена"/>
    <x:tableColumn id="12" name="Остаток"/>
    <x:tableColumn id="13" name="Рецептурность"/>
    <x:tableColumn id="14" name="Срок годности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d7bd687a2c4a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4" hidden="0" customWidth="1"/>
    <x:col min="4" max="4" width="18" hidden="0" customWidth="1"/>
    <x:col min="5" max="5" width="13" hidden="0" customWidth="1"/>
    <x:col min="6" max="6" width="16" hidden="0" customWidth="1"/>
    <x:col min="7" max="7" width="18" hidden="0" customWidth="1"/>
    <x:col min="8" max="8" width="28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</x:cols>
  <x:sheetData>
    <x:row r="1">
      <x:c r="A1" s="20" t="str">
        <x:v>ID DoriGo</x:v>
      </x:c>
      <x:c r="B1" s="21" t="str">
        <x:v>Штрихкод</x:v>
      </x:c>
      <x:c r="C1" s="22" t="str">
        <x:v>Название</x:v>
      </x:c>
      <x:c r="D1" s="22" t="str">
        <x:v>МНН</x:v>
      </x:c>
      <x:c r="E1" s="22" t="str">
        <x:v>Дозировка</x:v>
      </x:c>
      <x:c r="F1" s="22" t="str">
        <x:v>Форма</x:v>
      </x:c>
      <x:c r="G1" s="22" t="str">
        <x:v>Количество в упаковке</x:v>
      </x:c>
      <x:c r="H1" s="22" t="str">
        <x:v>Производитель</x:v>
      </x:c>
      <x:c r="I1" s="22" t="str">
        <x:v>Категория</x:v>
      </x:c>
      <x:c r="J1" s="22" t="str">
        <x:v>Цена</x:v>
      </x:c>
      <x:c r="K1" s="22" t="str">
        <x:v>Закупочная цена</x:v>
      </x:c>
      <x:c r="L1" s="22" t="str">
        <x:v>Остаток</x:v>
      </x:c>
      <x:c r="M1" s="22" t="str">
        <x:v>Рецептурность</x:v>
      </x:c>
      <x:c r="N1" s="23" t="str">
        <x:v>Срок годности</x:v>
      </x:c>
    </x:row>
    <x:row r="2">
      <x:c r="A2" s="24" t="str">
        <x:v>uz-ибупрофен-efbbf794c9</x:v>
      </x:c>
      <x:c r="B2" s="28" t="str">
        <x:f>"478001000001"</x:f>
        <x:v>478001000001</x:v>
      </x:c>
      <x:c r="C2" s="25" t="str">
        <x:v>ИБУПРОФЕН</x:v>
      </x:c>
      <x:c r="D2" s="25" t="str">
        <x:v>ibuprofen</x:v>
      </x:c>
      <x:c r="E2" s="25" t="str">
        <x:v>200 мг</x:v>
      </x:c>
      <x:c r="F2" s="25" t="str">
        <x:v>Капсулы</x:v>
      </x:c>
      <x:c r="G2" s="25" t="str">
        <x:v>№10</x:v>
      </x:c>
      <x:c r="H2" s="25" t="str">
        <x:v>Remedy, CП ООО, Узбекско-Британское</x:v>
      </x:c>
      <x:c r="I2" s="25" t="str">
        <x:v>Костно-мышечная система</x:v>
      </x:c>
      <x:c r="J2" s="30" t="n">
        <x:v>6000</x:v>
      </x:c>
      <x:c r="K2" s="30" t="n">
        <x:v>4200</x:v>
      </x:c>
      <x:c r="L2" s="30" t="n">
        <x:v>24</x:v>
      </x:c>
      <x:c r="M2" s="7" t="str">
        <x:v>Без рецепта</x:v>
      </x:c>
      <x:c r="N2" s="32" t="str">
        <x:v>12.2026</x:v>
      </x:c>
    </x:row>
    <x:row r="3">
      <x:c r="A3" s="24" t="str">
        <x:v>uz-парацетамол-76642dde2d</x:v>
      </x:c>
      <x:c r="B3" s="28" t="str">
        <x:f>"478001000002"</x:f>
        <x:v>478001000002</x:v>
      </x:c>
      <x:c r="C3" s="25" t="str">
        <x:v>Парацетамол</x:v>
      </x:c>
      <x:c r="D3" s="25" t="str">
        <x:v>paracetamol</x:v>
      </x:c>
      <x:c r="E3" s="25" t="str">
        <x:v>125 мг</x:v>
      </x:c>
      <x:c r="F3" s="25" t="str">
        <x:v>Суппозитории</x:v>
      </x:c>
      <x:c r="G3" s="25" t="str">
        <x:v>№6</x:v>
      </x:c>
      <x:c r="H3" s="25" t="str">
        <x:v>POLIDAR PHARM, ООО</x:v>
      </x:c>
      <x:c r="I3" s="25" t="str">
        <x:v>Нервная система</x:v>
      </x:c>
      <x:c r="J3" s="30" t="n">
        <x:v>4500</x:v>
      </x:c>
      <x:c r="K3" s="30" t="n">
        <x:v>2800</x:v>
      </x:c>
      <x:c r="L3" s="30" t="n">
        <x:v>36</x:v>
      </x:c>
      <x:c r="M3" s="7" t="str">
        <x:v>Без рецепта</x:v>
      </x:c>
      <x:c r="N3" s="32" t="str">
        <x:v>10.2026</x:v>
      </x:c>
    </x:row>
    <x:row r="4">
      <x:c r="A4" s="24" t="str">
        <x:v>uz-амброксол-e06150d041</x:v>
      </x:c>
      <x:c r="B4" s="28" t="str">
        <x:f>"478001000003"</x:f>
        <x:v>478001000003</x:v>
      </x:c>
      <x:c r="C4" s="25" t="str">
        <x:v>Амброксол</x:v>
      </x:c>
      <x:c r="D4" s="25" t="str">
        <x:v>ambroxol</x:v>
      </x:c>
      <x:c r="E4" s="25" t="str">
        <x:v>30 мг</x:v>
      </x:c>
      <x:c r="F4" s="25" t="str">
        <x:v>Таблетки</x:v>
      </x:c>
      <x:c r="G4" s="25" t="str">
        <x:v>№10</x:v>
      </x:c>
      <x:c r="H4" s="25" t="str">
        <x:v>Navbahor Sanoat, OOO</x:v>
      </x:c>
      <x:c r="I4" s="25" t="str">
        <x:v>Дыхательная система</x:v>
      </x:c>
      <x:c r="J4" s="30" t="n">
        <x:v>12500</x:v>
      </x:c>
      <x:c r="K4" s="30" t="n">
        <x:v>8500</x:v>
      </x:c>
      <x:c r="L4" s="30" t="n">
        <x:v>18</x:v>
      </x:c>
      <x:c r="M4" s="7" t="str">
        <x:v>Без рецепта</x:v>
      </x:c>
      <x:c r="N4" s="32" t="str">
        <x:v>07.2026</x:v>
      </x:c>
    </x:row>
    <x:row r="5">
      <x:c r="A5" s="24" t="str">
        <x:v>uz-цетиризин-дс-adf9407d90</x:v>
      </x:c>
      <x:c r="B5" s="28" t="str">
        <x:f>"478001000004"</x:f>
        <x:v>478001000004</x:v>
      </x:c>
      <x:c r="C5" s="25" t="str">
        <x:v>Цетиризин ДС</x:v>
      </x:c>
      <x:c r="D5" s="25" t="str">
        <x:v>cetirizine</x:v>
      </x:c>
      <x:c r="E5" s="25" t="str">
        <x:v>10 мг</x:v>
      </x:c>
      <x:c r="F5" s="25" t="str">
        <x:v>Таблетки</x:v>
      </x:c>
      <x:c r="G5" s="25" t="str">
        <x:v>№10</x:v>
      </x:c>
      <x:c r="H5" s="25" t="str">
        <x:v>Danhson-BG OOD, Болгария произведено: Danapha Pharmaceutical Joint Stock Company</x:v>
      </x:c>
      <x:c r="I5" s="25" t="str">
        <x:v>Дыхательная система</x:v>
      </x:c>
      <x:c r="J5" s="30" t="n">
        <x:v>7200</x:v>
      </x:c>
      <x:c r="K5" s="30" t="n">
        <x:v>4700</x:v>
      </x:c>
      <x:c r="L5" s="30" t="n">
        <x:v>15</x:v>
      </x:c>
      <x:c r="M5" s="7" t="str">
        <x:v>Без рецепта</x:v>
      </x:c>
      <x:c r="N5" s="32" t="str">
        <x:v>09.2026</x:v>
      </x:c>
    </x:row>
    <x:row r="6">
      <x:c r="A6" s="24" t="str">
        <x:v>uz-цитрамон-п-0096d51c09</x:v>
      </x:c>
      <x:c r="B6" s="28" t="str">
        <x:f>"478001000005"</x:f>
        <x:v>478001000005</x:v>
      </x:c>
      <x:c r="C6" s="25" t="str">
        <x:v>ЦИТРАМОН П</x:v>
      </x:c>
      <x:c r="D6" s="25" t="str">
        <x:v>acetylsalicylic acid; paracetamol; caffeine</x:v>
      </x:c>
      <x:c r="E6" s="25" t="str"/>
      <x:c r="F6" s="25" t="str">
        <x:v>Таблетки</x:v>
      </x:c>
      <x:c r="G6" s="25" t="str">
        <x:v>№6</x:v>
      </x:c>
      <x:c r="H6" s="25" t="str">
        <x:v>Radiks, OOO</x:v>
      </x:c>
      <x:c r="I6" s="25" t="str">
        <x:v>Нервная система</x:v>
      </x:c>
      <x:c r="J6" s="30" t="n">
        <x:v>7200</x:v>
      </x:c>
      <x:c r="K6" s="30" t="n">
        <x:v>4100</x:v>
      </x:c>
      <x:c r="L6" s="30" t="n">
        <x:v>22</x:v>
      </x:c>
      <x:c r="M6" s="7" t="str">
        <x:v>Без рецепта</x:v>
      </x:c>
      <x:c r="N6" s="32" t="str">
        <x:v>08.2026</x:v>
      </x:c>
    </x:row>
    <x:row r="7">
      <x:c r="A7" s="24" t="str">
        <x:v>uz-диклофенак-4a8411f825</x:v>
      </x:c>
      <x:c r="B7" s="28" t="str">
        <x:f>"478001000006"</x:f>
        <x:v>478001000006</x:v>
      </x:c>
      <x:c r="C7" s="25" t="str">
        <x:v>Диклофенак</x:v>
      </x:c>
      <x:c r="D7" s="25" t="str">
        <x:v>diclofenac</x:v>
      </x:c>
      <x:c r="E7" s="25" t="str">
        <x:v>50 мг</x:v>
      </x:c>
      <x:c r="F7" s="25" t="str">
        <x:v>Суппозитории</x:v>
      </x:c>
      <x:c r="G7" s="25" t="str">
        <x:v>№5</x:v>
      </x:c>
      <x:c r="H7" s="25" t="str">
        <x:v>Radiks, OOO</x:v>
      </x:c>
      <x:c r="I7" s="25" t="str">
        <x:v>Костно-мышечная система</x:v>
      </x:c>
      <x:c r="J7" s="30" t="n">
        <x:v>9800</x:v>
      </x:c>
      <x:c r="K7" s="30" t="n">
        <x:v>6400</x:v>
      </x:c>
      <x:c r="L7" s="30" t="n">
        <x:v>16</x:v>
      </x:c>
      <x:c r="M7" s="7" t="str">
        <x:v>По рецепту</x:v>
      </x:c>
      <x:c r="N7" s="32" t="str">
        <x:v>11.2026</x:v>
      </x:c>
    </x:row>
    <x:row r="8">
      <x:c r="A8" s="24" t="str">
        <x:v>uz-кеторолак-b65ea571b2</x:v>
      </x:c>
      <x:c r="B8" s="28" t="str">
        <x:f>"478001000007"</x:f>
        <x:v>478001000007</x:v>
      </x:c>
      <x:c r="C8" s="25" t="str">
        <x:v>Кеторолак</x:v>
      </x:c>
      <x:c r="D8" s="25" t="str">
        <x:v>ketorolaс</x:v>
      </x:c>
      <x:c r="E8" s="25" t="str">
        <x:v>30 мг/мл</x:v>
      </x:c>
      <x:c r="F8" s="25" t="str">
        <x:v>Раствор</x:v>
      </x:c>
      <x:c r="G8" s="25" t="str">
        <x:v>№10</x:v>
      </x:c>
      <x:c r="H8" s="25" t="str">
        <x:v>Промомед Рус, ООО, Россия произведено: Биохимик, АО</x:v>
      </x:c>
      <x:c r="I8" s="25" t="str">
        <x:v>Костно-мышечная система</x:v>
      </x:c>
      <x:c r="J8" s="30" t="n">
        <x:v>8200</x:v>
      </x:c>
      <x:c r="K8" s="30" t="n">
        <x:v>5200</x:v>
      </x:c>
      <x:c r="L8" s="30" t="n">
        <x:v>12</x:v>
      </x:c>
      <x:c r="M8" s="7" t="str">
        <x:v>По рецепту</x:v>
      </x:c>
      <x:c r="N8" s="32" t="str">
        <x:v>06.2026</x:v>
      </x:c>
    </x:row>
    <x:row r="9">
      <x:c r="A9" s="24" t="str">
        <x:v>uz-новэкс-омепразол-c629c0575f</x:v>
      </x:c>
      <x:c r="B9" s="28" t="str">
        <x:f>"478001000008"</x:f>
        <x:v>478001000008</x:v>
      </x:c>
      <x:c r="C9" s="25" t="str">
        <x:v>НОВЭКС ОМЕПРАЗОЛ</x:v>
      </x:c>
      <x:c r="D9" s="25" t="str">
        <x:v>omeprazole</x:v>
      </x:c>
      <x:c r="E9" s="25" t="str">
        <x:v>10 мг</x:v>
      </x:c>
      <x:c r="F9" s="25" t="str">
        <x:v>Капсулы</x:v>
      </x:c>
      <x:c r="G9" s="25" t="str">
        <x:v>№14</x:v>
      </x:c>
      <x:c r="H9" s="25" t="str">
        <x:v>Herbion Pakistan (Pvt) Ltd</x:v>
      </x:c>
      <x:c r="I9" s="25" t="str">
        <x:v>Пищеварительный тракт и обмен веществ</x:v>
      </x:c>
      <x:c r="J9" s="30" t="n">
        <x:v>14500</x:v>
      </x:c>
      <x:c r="K9" s="30" t="n">
        <x:v>9200</x:v>
      </x:c>
      <x:c r="L9" s="30" t="n">
        <x:v>20</x:v>
      </x:c>
      <x:c r="M9" s="7" t="str">
        <x:v>По рецепту</x:v>
      </x:c>
      <x:c r="N9" s="32" t="str">
        <x:v>12.2026</x:v>
      </x:c>
    </x:row>
    <x:row r="10">
      <x:c r="A10" s="24" t="str">
        <x:v>uz-но-шпа-179edaeddd</x:v>
      </x:c>
      <x:c r="B10" s="28" t="str">
        <x:f>"478001000009"</x:f>
        <x:v>478001000009</x:v>
      </x:c>
      <x:c r="C10" s="25" t="str">
        <x:v>НО-ШПА®</x:v>
      </x:c>
      <x:c r="D10" s="25" t="str">
        <x:v>drotaverine</x:v>
      </x:c>
      <x:c r="E10" s="25" t="str">
        <x:v>40 мг</x:v>
      </x:c>
      <x:c r="F10" s="25" t="str">
        <x:v>Таблетки</x:v>
      </x:c>
      <x:c r="G10" s="25" t="str">
        <x:v>№24</x:v>
      </x:c>
      <x:c r="H10" s="25" t="str">
        <x:v>Opella Healthcare Commercial  Ltd., Венгрия произведено: Opella Healthcare Hungary  Ltd.</x:v>
      </x:c>
      <x:c r="I10" s="25" t="str">
        <x:v>Пищеварительный тракт и обмен веществ</x:v>
      </x:c>
      <x:c r="J10" s="30" t="n">
        <x:v>18500</x:v>
      </x:c>
      <x:c r="K10" s="30" t="n">
        <x:v>12100</x:v>
      </x:c>
      <x:c r="L10" s="30" t="n">
        <x:v>10</x:v>
      </x:c>
      <x:c r="M10" s="7" t="str">
        <x:v>Без рецепта</x:v>
      </x:c>
      <x:c r="N10" s="32" t="str">
        <x:v>05.2026</x:v>
      </x:c>
    </x:row>
    <x:row r="11">
      <x:c r="A11" s="24" t="str">
        <x:v>uz-амоксициллин-40f9703242</x:v>
      </x:c>
      <x:c r="B11" s="28" t="str">
        <x:f>"478001000010"</x:f>
        <x:v>478001000010</x:v>
      </x:c>
      <x:c r="C11" s="25" t="str">
        <x:v>Амоксициллин</x:v>
      </x:c>
      <x:c r="D11" s="25" t="str">
        <x:v>amoxicillin</x:v>
      </x:c>
      <x:c r="E11" s="25" t="str">
        <x:v>250 мг</x:v>
      </x:c>
      <x:c r="F11" s="25" t="str">
        <x:v>Таблетки</x:v>
      </x:c>
      <x:c r="G11" s="25" t="str">
        <x:v>№10</x:v>
      </x:c>
      <x:c r="H11" s="25" t="str">
        <x:v>Биохимик, АО</x:v>
      </x:c>
      <x:c r="I11" s="25" t="str">
        <x:v>Противомикробные препараты системного действия</x:v>
      </x:c>
      <x:c r="J11" s="30" t="n">
        <x:v>19800</x:v>
      </x:c>
      <x:c r="K11" s="30" t="n">
        <x:v>13200</x:v>
      </x:c>
      <x:c r="L11" s="30" t="n">
        <x:v>8</x:v>
      </x:c>
      <x:c r="M11" s="7" t="str">
        <x:v>По рецепту</x:v>
      </x:c>
      <x:c r="N11" s="32" t="str">
        <x:v>07.2026</x:v>
      </x:c>
    </x:row>
    <x:row r="12">
      <x:c r="A12" s="24" t="str">
        <x:v>uz-дезлоратадин-13b587395c</x:v>
      </x:c>
      <x:c r="B12" s="28" t="str">
        <x:f>"478001000011"</x:f>
        <x:v>478001000011</x:v>
      </x:c>
      <x:c r="C12" s="25" t="str">
        <x:v>ДЕЗЛОРАТАДИН</x:v>
      </x:c>
      <x:c r="D12" s="25" t="str">
        <x:v>desloratadine</x:v>
      </x:c>
      <x:c r="E12" s="25" t="str">
        <x:v>5 мг</x:v>
      </x:c>
      <x:c r="F12" s="25" t="str">
        <x:v>Таблетки</x:v>
      </x:c>
      <x:c r="G12" s="25" t="str">
        <x:v>№10</x:v>
      </x:c>
      <x:c r="H12" s="25" t="str">
        <x:v>Технолог, ЧАО</x:v>
      </x:c>
      <x:c r="I12" s="25" t="str">
        <x:v>Дыхательная система</x:v>
      </x:c>
      <x:c r="J12" s="30" t="n">
        <x:v>6800</x:v>
      </x:c>
      <x:c r="K12" s="30" t="n">
        <x:v>4300</x:v>
      </x:c>
      <x:c r="L12" s="30" t="n">
        <x:v>25</x:v>
      </x:c>
      <x:c r="M12" s="7" t="str">
        <x:v>Без рецепта</x:v>
      </x:c>
      <x:c r="N12" s="32" t="str">
        <x:v>03.2027</x:v>
      </x:c>
    </x:row>
    <x:row r="13">
      <x:c r="A13" s="26" t="str">
        <x:v>uz-аскорбиновая-кислота-610f6dfca1</x:v>
      </x:c>
      <x:c r="B13" s="29" t="str">
        <x:f>"478001000012"</x:f>
        <x:v>478001000012</x:v>
      </x:c>
      <x:c r="C13" s="27" t="str">
        <x:v>Аскорбиновая кислота</x:v>
      </x:c>
      <x:c r="D13" s="27" t="str">
        <x:v>ascorbic acid</x:v>
      </x:c>
      <x:c r="E13" s="27" t="str">
        <x:v>50 мг</x:v>
      </x:c>
      <x:c r="F13" s="27" t="str">
        <x:v>Другая форма</x:v>
      </x:c>
      <x:c r="G13" s="27" t="str">
        <x:v>№200</x:v>
      </x:c>
      <x:c r="H13" s="27" t="str">
        <x:v>Алтайвитамины, АО</x:v>
      </x:c>
      <x:c r="I13" s="27" t="str">
        <x:v>Пищеварительный тракт и обмен веществ</x:v>
      </x:c>
      <x:c r="J13" s="31" t="n">
        <x:v>3000</x:v>
      </x:c>
      <x:c r="K13" s="31" t="n">
        <x:v>1600</x:v>
      </x:c>
      <x:c r="L13" s="31" t="n">
        <x:v>40</x:v>
      </x:c>
      <x:c r="M13" s="10" t="str">
        <x:v>Без рецепта</x:v>
      </x:c>
      <x:c r="N13" s="33" t="str">
        <x:v>04.2027</x:v>
      </x:c>
    </x:row>
  </x:sheetData>
  <x:pageMargins left="0.7" right="0.7" top="0.75" bottom="0.75" header="0.3" footer="0.3"/>
  <x:tableParts count="1">
    <x:tablePart xmlns:r="http://schemas.openxmlformats.org/officeDocument/2006/relationships" r:id="Rffd7bd687a2c4a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5" t="str">
        <x:v>DoriGo: пример загрузки товаров аптеки</x:v>
      </x:c>
    </x:row>
    <x:row r="3">
      <x:c r="A3" s="38" t="str">
        <x:v>Что делать</x:v>
      </x:c>
      <x:c r="B3" s="36" t="str">
        <x:v>Откройте кабинет аптеки → Товары и остатки → Загрузить Excel.</x:v>
      </x:c>
    </x:row>
    <x:row r="4">
      <x:c r="A4" s="38" t="str">
        <x:v>Главный лист</x:v>
      </x:c>
      <x:c r="B4" s="36" t="str">
        <x:v>Загрузчик читает первый лист: Товары.</x:v>
      </x:c>
    </x:row>
    <x:row r="5">
      <x:c r="A5" s="38" t="str">
        <x:v>ID DoriGo</x:v>
      </x:c>
      <x:c r="B5" s="36" t="str">
        <x:v>Главный ключ. По нему система сопоставляет строку с единым каталогом.</x:v>
      </x:c>
    </x:row>
    <x:row r="6">
      <x:c r="A6" s="38" t="str">
        <x:v>Цена / Остаток</x:v>
      </x:c>
      <x:c r="B6" s="36" t="str">
        <x:v>Это данные конкретной аптеки, их можно менять.</x:v>
      </x:c>
    </x:row>
    <x:row r="7">
      <x:c r="A7" s="38" t="str">
        <x:v>Срок годности</x:v>
      </x:c>
      <x:c r="B7" s="36" t="str">
        <x:v>Формат ММ.ГГГГ, например 12.2026.</x:v>
      </x:c>
    </x:row>
    <x:row r="8">
      <x:c r="A8" s="38" t="str">
        <x:v>Новые препараты</x:v>
      </x:c>
      <x:c r="B8" s="36" t="str">
        <x:v>Аптека не создает карточку препарата, а подключает существующую из каталога.</x:v>
      </x:c>
    </x:row>
    <x:row r="9">
      <x:c r="A9" s="38" t="str">
        <x:v>Источник каталога</x:v>
      </x:c>
      <x:c r="B9" s="36" t="str">
        <x:v>https://uzpharm-control.uz/pages/state-register-of-medicines-and-medical-products</x:v>
      </x:c>
    </x:row>
  </x:sheetData>
  <x:mergeCells>
    <x:mergeCell ref="A1:D1"/>
  </x:mergeCells>
  <x:pageMargins left="0.7" right="0.7" top="0.75" bottom="0.75" header="0.3" footer="0.3"/>
</x:worksheet>
</file>